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ranam br\Downloads\"/>
    </mc:Choice>
  </mc:AlternateContent>
  <xr:revisionPtr revIDLastSave="0" documentId="8_{7D5FA2C0-ECAF-4D9A-854B-053DE4A6DDB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icket" sheetId="1" r:id="rId1"/>
    <sheet name="feedbacks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3" l="1"/>
  <c r="C4" i="3"/>
  <c r="B4" i="3"/>
  <c r="D3" i="3"/>
  <c r="C3" i="3"/>
  <c r="B3" i="3"/>
  <c r="D2" i="3"/>
  <c r="C2" i="3"/>
  <c r="B2" i="3"/>
  <c r="D5" i="2"/>
  <c r="D4" i="2"/>
  <c r="D3" i="2"/>
  <c r="D2" i="2"/>
  <c r="F9" i="1"/>
  <c r="E9" i="1"/>
  <c r="F8" i="1"/>
  <c r="E8" i="1"/>
  <c r="F7" i="1"/>
  <c r="E7" i="1"/>
  <c r="F6" i="1"/>
  <c r="E6" i="1"/>
  <c r="F5" i="1"/>
  <c r="E5" i="1"/>
  <c r="F4" i="1"/>
  <c r="E4" i="1"/>
  <c r="F3" i="1"/>
  <c r="E3" i="1"/>
  <c r="F2" i="1"/>
  <c r="E2" i="1"/>
</calcChain>
</file>

<file path=xl/sharedStrings.xml><?xml version="1.0" encoding="utf-8"?>
<sst xmlns="http://schemas.openxmlformats.org/spreadsheetml/2006/main" count="41" uniqueCount="28">
  <si>
    <t>cms_id</t>
  </si>
  <si>
    <t>created_at</t>
  </si>
  <si>
    <t>closed_at</t>
  </si>
  <si>
    <t>outlet</t>
  </si>
  <si>
    <t>Same Day?</t>
  </si>
  <si>
    <t>Same Hour?</t>
  </si>
  <si>
    <t>TKT-1001</t>
  </si>
  <si>
    <t>Amherst</t>
  </si>
  <si>
    <t>TKT-1002</t>
  </si>
  <si>
    <t>TKT-1003</t>
  </si>
  <si>
    <t>Buffalo</t>
  </si>
  <si>
    <t>TKT-1004</t>
  </si>
  <si>
    <t>TKT-1005</t>
  </si>
  <si>
    <t>Cupertino</t>
  </si>
  <si>
    <t>TKT-1006</t>
  </si>
  <si>
    <t>TKT-1007</t>
  </si>
  <si>
    <t>TKT-1008</t>
  </si>
  <si>
    <t>rating</t>
  </si>
  <si>
    <t>comment</t>
  </si>
  <si>
    <t>created_at_from_ticket</t>
  </si>
  <si>
    <t>Great support</t>
  </si>
  <si>
    <t>Okay</t>
  </si>
  <si>
    <t>Quick fix</t>
  </si>
  <si>
    <t>Took longer than expected</t>
  </si>
  <si>
    <t>Outlet</t>
  </si>
  <si>
    <t>CountSameDayAndHour</t>
  </si>
  <si>
    <t>CountSameDay</t>
  </si>
  <si>
    <t>CountSameHour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</si>
</sst>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E22" sqref="E22"/>
    </sheetView>
  </sheetViews>
  <sheetFormatPr defaultRowHeight="14.4" x14ac:dyDescent="0.3"/>
  <cols>
    <col min="1" max="6" width="22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s="1">
        <v>44505.385416666657</v>
      </c>
      <c r="C2" s="1">
        <v>44505.402777777781</v>
      </c>
      <c r="D2" t="s">
        <v>7</v>
      </c>
      <c r="E2" t="b">
        <f t="shared" ref="E2:E9" si="0">INT(B2)=INT(C2)</f>
        <v>1</v>
      </c>
      <c r="F2" t="b">
        <f t="shared" ref="F2:F9" si="1">HOUR(B2)=HOUR(C2)</f>
        <v>1</v>
      </c>
    </row>
    <row r="3" spans="1:6" x14ac:dyDescent="0.3">
      <c r="A3" t="s">
        <v>8</v>
      </c>
      <c r="B3" s="1">
        <v>44505.673611111109</v>
      </c>
      <c r="C3" s="1">
        <v>44505.774305555547</v>
      </c>
      <c r="D3" t="s">
        <v>7</v>
      </c>
      <c r="E3" t="b">
        <f t="shared" si="0"/>
        <v>1</v>
      </c>
      <c r="F3" t="b">
        <f t="shared" si="1"/>
        <v>0</v>
      </c>
    </row>
    <row r="4" spans="1:6" x14ac:dyDescent="0.3">
      <c r="A4" t="s">
        <v>9</v>
      </c>
      <c r="B4" s="1">
        <v>44506.420138888891</v>
      </c>
      <c r="C4" s="1">
        <v>44507.420138888891</v>
      </c>
      <c r="D4" t="s">
        <v>10</v>
      </c>
      <c r="E4" t="b">
        <f t="shared" si="0"/>
        <v>0</v>
      </c>
      <c r="F4" t="b">
        <f t="shared" si="1"/>
        <v>1</v>
      </c>
    </row>
    <row r="5" spans="1:6" x14ac:dyDescent="0.3">
      <c r="A5" t="s">
        <v>11</v>
      </c>
      <c r="B5" s="1">
        <v>44506.597222222219</v>
      </c>
      <c r="C5" s="1">
        <v>44506.618055555547</v>
      </c>
      <c r="D5" t="s">
        <v>10</v>
      </c>
      <c r="E5" t="b">
        <f t="shared" si="0"/>
        <v>1</v>
      </c>
      <c r="F5" t="b">
        <f t="shared" si="1"/>
        <v>1</v>
      </c>
    </row>
    <row r="6" spans="1:6" x14ac:dyDescent="0.3">
      <c r="A6" t="s">
        <v>12</v>
      </c>
      <c r="B6" s="1">
        <v>44507.364583333343</v>
      </c>
      <c r="C6" s="1">
        <v>44507.427083333343</v>
      </c>
      <c r="D6" t="s">
        <v>13</v>
      </c>
      <c r="E6" t="b">
        <f t="shared" si="0"/>
        <v>1</v>
      </c>
      <c r="F6" t="b">
        <f t="shared" si="1"/>
        <v>0</v>
      </c>
    </row>
    <row r="7" spans="1:6" x14ac:dyDescent="0.3">
      <c r="A7" t="s">
        <v>14</v>
      </c>
      <c r="B7" s="1">
        <v>44507.375</v>
      </c>
      <c r="C7" s="1">
        <v>44507.413194444453</v>
      </c>
      <c r="D7" t="s">
        <v>13</v>
      </c>
      <c r="E7" t="b">
        <f t="shared" si="0"/>
        <v>1</v>
      </c>
      <c r="F7" t="b">
        <f t="shared" si="1"/>
        <v>1</v>
      </c>
    </row>
    <row r="8" spans="1:6" x14ac:dyDescent="0.3">
      <c r="A8" t="s">
        <v>15</v>
      </c>
      <c r="B8" s="1">
        <v>44508.479166666657</v>
      </c>
      <c r="C8" s="1">
        <v>44508.5</v>
      </c>
      <c r="D8" t="s">
        <v>7</v>
      </c>
      <c r="E8" t="b">
        <f t="shared" si="0"/>
        <v>1</v>
      </c>
      <c r="F8" t="b">
        <f t="shared" si="1"/>
        <v>0</v>
      </c>
    </row>
    <row r="9" spans="1:6" x14ac:dyDescent="0.3">
      <c r="A9" t="s">
        <v>16</v>
      </c>
      <c r="B9" s="1">
        <v>44508.520833333343</v>
      </c>
      <c r="C9" s="1">
        <v>44508.524305555547</v>
      </c>
      <c r="D9" t="s">
        <v>10</v>
      </c>
      <c r="E9" t="b">
        <f t="shared" si="0"/>
        <v>1</v>
      </c>
      <c r="F9" t="b">
        <f t="shared" si="1"/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>
      <selection activeCell="D4" sqref="D4"/>
    </sheetView>
  </sheetViews>
  <sheetFormatPr defaultRowHeight="14.4" x14ac:dyDescent="0.3"/>
  <cols>
    <col min="1" max="4" width="22" customWidth="1"/>
  </cols>
  <sheetData>
    <row r="1" spans="1:4" x14ac:dyDescent="0.3">
      <c r="A1" t="s">
        <v>0</v>
      </c>
      <c r="B1" t="s">
        <v>17</v>
      </c>
      <c r="C1" t="s">
        <v>18</v>
      </c>
      <c r="D1" t="s">
        <v>19</v>
      </c>
    </row>
    <row r="2" spans="1:4" x14ac:dyDescent="0.3">
      <c r="A2" t="s">
        <v>6</v>
      </c>
      <c r="B2">
        <v>5</v>
      </c>
      <c r="C2" t="s">
        <v>20</v>
      </c>
      <c r="D2">
        <f>VLOOKUP(A2,ticket!$A:$B,2,FALSE)</f>
        <v>44505.385416666657</v>
      </c>
    </row>
    <row r="3" spans="1:4" x14ac:dyDescent="0.3">
      <c r="A3" t="s">
        <v>11</v>
      </c>
      <c r="B3">
        <v>3</v>
      </c>
      <c r="C3" t="s">
        <v>21</v>
      </c>
      <c r="D3">
        <f>VLOOKUP(A3,ticket!$A:$B,2,FALSE)</f>
        <v>44506.597222222219</v>
      </c>
    </row>
    <row r="4" spans="1:4" x14ac:dyDescent="0.3">
      <c r="A4" t="s">
        <v>14</v>
      </c>
      <c r="B4">
        <v>4</v>
      </c>
      <c r="C4" t="s">
        <v>22</v>
      </c>
      <c r="D4">
        <f>VLOOKUP(A4,ticket!$A:$B,2,FALSE)</f>
        <v>44507.375</v>
      </c>
    </row>
    <row r="5" spans="1:4" x14ac:dyDescent="0.3">
      <c r="A5" t="s">
        <v>16</v>
      </c>
      <c r="B5">
        <v>2</v>
      </c>
      <c r="C5" t="s">
        <v>23</v>
      </c>
      <c r="D5">
        <f>VLOOKUP(A5,ticket!$A:$B,2,FALSE)</f>
        <v>44508.520833333343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/>
  </sheetViews>
  <sheetFormatPr defaultRowHeight="14.4" x14ac:dyDescent="0.3"/>
  <cols>
    <col min="1" max="4" width="22" customWidth="1"/>
  </cols>
  <sheetData>
    <row r="1" spans="1:4" x14ac:dyDescent="0.3">
      <c r="A1" t="s">
        <v>24</v>
      </c>
      <c r="B1" t="s">
        <v>25</v>
      </c>
      <c r="C1" t="s">
        <v>26</v>
      </c>
      <c r="D1" t="s">
        <v>27</v>
      </c>
    </row>
    <row r="2" spans="1:4" x14ac:dyDescent="0.3">
      <c r="A2" t="s">
        <v>7</v>
      </c>
      <c r="B2">
        <f>COUNTIFS(ticket!$D:$D,$A2,ticket!$E:$E,TRUE,ticket!$F:$F,TRUE)</f>
        <v>1</v>
      </c>
      <c r="C2">
        <f>COUNTIFS(ticket!$D:$D,$A2,ticket!$E:$E,TRUE)</f>
        <v>3</v>
      </c>
      <c r="D2">
        <f>COUNTIFS(ticket!$D:$D,$A2,ticket!$F:$F,TRUE)</f>
        <v>1</v>
      </c>
    </row>
    <row r="3" spans="1:4" x14ac:dyDescent="0.3">
      <c r="A3" t="s">
        <v>10</v>
      </c>
      <c r="B3">
        <f>COUNTIFS(ticket!$D:$D,$A3,ticket!$E:$E,TRUE,ticket!$F:$F,TRUE)</f>
        <v>2</v>
      </c>
      <c r="C3">
        <f>COUNTIFS(ticket!$D:$D,$A3,ticket!$E:$E,TRUE)</f>
        <v>2</v>
      </c>
      <c r="D3">
        <f>COUNTIFS(ticket!$D:$D,$A3,ticket!$F:$F,TRUE)</f>
        <v>3</v>
      </c>
    </row>
    <row r="4" spans="1:4" x14ac:dyDescent="0.3">
      <c r="A4" t="s">
        <v>13</v>
      </c>
      <c r="B4">
        <f>COUNTIFS(ticket!$D:$D,$A4,ticket!$E:$E,TRUE,ticket!$F:$F,TRUE)</f>
        <v>1</v>
      </c>
      <c r="C4">
        <f>COUNTIFS(ticket!$D:$D,$A4,ticket!$E:$E,TRUE)</f>
        <v>2</v>
      </c>
      <c r="D4">
        <f>COUNTIFS(ticket!$D:$D,$A4,ticket!$F:$F,TRUE)</f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</vt:lpstr>
      <vt:lpstr>feedbacks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pranam br</cp:lastModifiedBy>
  <dcterms:created xsi:type="dcterms:W3CDTF">2025-12-02T19:11:38Z</dcterms:created>
  <dcterms:modified xsi:type="dcterms:W3CDTF">2025-12-03T00:44:42Z</dcterms:modified>
</cp:coreProperties>
</file>